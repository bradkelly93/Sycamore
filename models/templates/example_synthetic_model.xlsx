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 &amp; Sources" sheetId="1" state="visible" r:id="rId1"/>
    <sheet name="DCF &amp; Reverse-DCF" sheetId="2" state="visible" r:id="rId2"/>
    <sheet name="Normalized Earnings" sheetId="3" state="visible" r:id="rId3"/>
    <sheet name="Football Field" sheetId="4" state="visible" r:id="rId4"/>
    <sheet name="Notes" sheetId="5" state="visible" r:id="rId5"/>
  </sheets>
  <definedNames>
    <definedName name="WACC">'Inputs &amp; Sources'!$B$6</definedName>
    <definedName name="TERM_G">'Inputs &amp; Sources'!$B$7</definedName>
    <definedName name="YEARS">'Inputs &amp; Sources'!$B$8</definedName>
    <definedName name="TAX">'Inputs &amp; Sources'!$B$9</definedName>
    <definedName name="WACC_STRESS">'Inputs &amp; Sources'!$B$10</definedName>
    <definedName name="TG_STRESS">'Inputs &amp; Sources'!$B$11</definedName>
    <definedName name="PRICE">'Inputs &amp; Sources'!$B$13</definedName>
    <definedName name="MKT_CAP">'Inputs &amp; Sources'!$B$14</definedName>
    <definedName name="SHARES">'Inputs &amp; Sources'!$B$16</definedName>
    <definedName name="NET_DEBT">'Inputs &amp; Sources'!$B$17</definedName>
    <definedName name="FCFF0_BASE">'Inputs &amp; Sources'!$B$19</definedName>
    <definedName name="FCFF0_BEAR">'Inputs &amp; Sources'!$B$20</definedName>
    <definedName name="FCFF0_BULL">'Inputs &amp; Sources'!$B$21</definedName>
    <definedName name="ASSUMED_G">'Inputs &amp; Sources'!$B$23</definedName>
    <definedName name="IMPLIED_G_BASE">'Inputs &amp; Sources'!$B$24</definedName>
    <definedName name="IMPLIED_G_BEAR">'Inputs &amp; Sources'!$B$25</definedName>
    <definedName name="IMPLIED_G_BULL">'Inputs &amp; Sources'!$B$26</definedName>
    <definedName name="REVENUE">'Inputs &amp; Sources'!$B$28</definedName>
    <definedName name="MEAN_OPM">'Inputs &amp; Sources'!$B$29</definedName>
    <definedName name="TROUGH_OPM">'Inputs &amp; Sources'!$B$30</definedName>
    <definedName name="INT_EXP">'Inputs &amp; Sources'!$B$31</definedName>
    <definedName name="PE_P25">'Inputs &amp; Sources'!$B$33</definedName>
    <definedName name="PE_MEDIAN">'Inputs &amp; Sources'!$B$34</definedName>
    <definedName name="PE_P75">'Inputs &amp; Sources'!$B$35</definedName>
    <definedName name="PEER_PE_MIN">'Inputs &amp; Sources'!$B$36</definedName>
    <definedName name="PEER_PE_MEDIAN">'Inputs &amp; Sources'!$B$37</definedName>
    <definedName name="PEER_PE_MAX">'Inputs &amp; Sources'!$B$38</definedName>
    <definedName name="FV_BEAR">'DCF &amp; Reverse-DCF'!$B$27</definedName>
    <definedName name="FV_BASE">'DCF &amp; Reverse-DCF'!$C$27</definedName>
    <definedName name="FV_BULL">'DCF &amp; Reverse-DCF'!$D$27</definedName>
    <definedName name="TROUGH_EPS">'Normalized Earnings'!$B$11</definedName>
    <definedName name="NORM_EPS">'Normalized Earnings'!$C$11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,,&quot;M&quot;"/>
    <numFmt numFmtId="166" formatCode="0.00&quot;x&quot;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  <font>
      <i val="1"/>
    </font>
    <font>
      <b val="1"/>
      <color rgb="00C00000"/>
    </font>
  </fonts>
  <fills count="9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3" fillId="0" borderId="0" pivotButton="0" quotePrefix="0" xfId="0"/>
    <xf numFmtId="164" fontId="4" fillId="3" borderId="0" pivotButton="0" quotePrefix="0" xfId="0"/>
    <xf numFmtId="3" fontId="4" fillId="3" borderId="0" pivotButton="0" quotePrefix="0" xfId="0"/>
    <xf numFmtId="4" fontId="4" fillId="4" borderId="0" pivotButton="0" quotePrefix="0" xfId="0"/>
    <xf numFmtId="165" fontId="4" fillId="4" borderId="0" pivotButton="0" quotePrefix="0" xfId="0"/>
    <xf numFmtId="3" fontId="0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166" fontId="4" fillId="6" borderId="0" pivotButton="0" quotePrefix="0" xfId="0"/>
    <xf numFmtId="0" fontId="5" fillId="0" borderId="0" pivotButton="0" quotePrefix="0" xfId="0"/>
    <xf numFmtId="164" fontId="5" fillId="7" borderId="0" pivotButton="0" quotePrefix="0" xfId="0"/>
    <xf numFmtId="164" fontId="0" fillId="8" borderId="0" pivotButton="0" quotePrefix="0" xfId="0"/>
    <xf numFmtId="165" fontId="5" fillId="7" borderId="0" pivotButton="0" quotePrefix="0" xfId="0"/>
    <xf numFmtId="165" fontId="0" fillId="8" borderId="0" pivotButton="0" quotePrefix="0" xfId="0"/>
    <xf numFmtId="4" fontId="5" fillId="7" borderId="0" pivotButton="0" quotePrefix="0" xfId="0"/>
    <xf numFmtId="4" fontId="0" fillId="8" borderId="0" pivotButton="0" quotePrefix="0" xfId="0"/>
    <xf numFmtId="3" fontId="0" fillId="8" borderId="0" pivotButton="0" quotePrefix="0" xfId="0"/>
    <xf numFmtId="166" fontId="5" fillId="7" borderId="0" pivotButton="0" quotePrefix="0" xfId="0"/>
    <xf numFmtId="166" fontId="0" fillId="8" borderId="0" pivotButton="0" quotePrefix="0" xfId="0"/>
    <xf numFmtId="166" fontId="4" fillId="3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38" customWidth="1" min="4" max="4"/>
    <col width="34" customWidth="1" min="5" max="5"/>
  </cols>
  <sheetData>
    <row r="1">
      <c r="A1" s="1" t="inlineStr">
        <is>
          <t>Inputs &amp; Sources — EXAMPLE  (non-bank)</t>
        </is>
      </c>
    </row>
    <row r="2">
      <c r="A2" t="inlineStr">
        <is>
          <t>Every cell below is tagged. Formulas on the other tabs read these via named ranges (e.g. =WACC). Edit amber inputs to flex; green/seed cells recompute.</t>
        </is>
      </c>
    </row>
    <row r="4">
      <c r="A4" s="2" t="inlineStr">
        <is>
          <t>Driver</t>
        </is>
      </c>
      <c r="B4" s="2" t="inlineStr">
        <is>
          <t>Value</t>
        </is>
      </c>
      <c r="C4" s="2" t="inlineStr">
        <is>
          <t>Type</t>
        </is>
      </c>
      <c r="D4" s="2" t="inlineStr">
        <is>
          <t>Source</t>
        </is>
      </c>
      <c r="E4" s="2" t="inlineStr">
        <is>
          <t>Note</t>
        </is>
      </c>
    </row>
    <row r="5">
      <c r="A5" s="3" t="inlineStr">
        <is>
          <t>Valuation drivers (assumptions)</t>
        </is>
      </c>
    </row>
    <row r="6">
      <c r="A6" t="inlineStr">
        <is>
          <t>WACC</t>
        </is>
      </c>
      <c r="B6" s="4" t="n">
        <v>0.09</v>
      </c>
      <c r="C6" t="inlineStr">
        <is>
          <t>analyst-assumption</t>
        </is>
      </c>
      <c r="D6" t="inlineStr">
        <is>
          <t>config valuation.wacc / CLI --wacc</t>
        </is>
      </c>
      <c r="E6" t="inlineStr">
        <is>
          <t>discount rate</t>
        </is>
      </c>
    </row>
    <row r="7">
      <c r="A7" t="inlineStr">
        <is>
          <t>Terminal growth</t>
        </is>
      </c>
      <c r="B7" s="4" t="n">
        <v>0.025</v>
      </c>
      <c r="C7" t="inlineStr">
        <is>
          <t>analyst-assumption</t>
        </is>
      </c>
      <c r="D7" t="inlineStr">
        <is>
          <t>config valuation.terminal_growth</t>
        </is>
      </c>
      <c r="E7" t="inlineStr">
        <is>
          <t>Gordon perpetuity g</t>
        </is>
      </c>
    </row>
    <row r="8">
      <c r="A8" t="inlineStr">
        <is>
          <t>Forecast years</t>
        </is>
      </c>
      <c r="B8" s="5" t="n">
        <v>10</v>
      </c>
      <c r="C8" t="inlineStr">
        <is>
          <t>analyst-assumption</t>
        </is>
      </c>
      <c r="D8" t="inlineStr">
        <is>
          <t>config valuation.forecast_years</t>
        </is>
      </c>
      <c r="E8" t="inlineStr">
        <is>
          <t>explicit horizon</t>
        </is>
      </c>
    </row>
    <row r="9">
      <c r="A9" t="inlineStr">
        <is>
          <t>Tax rate</t>
        </is>
      </c>
      <c r="B9" s="4" t="n">
        <v>0.21</v>
      </c>
      <c r="C9" t="inlineStr">
        <is>
          <t>analyst-assumption</t>
        </is>
      </c>
      <c r="D9" t="inlineStr">
        <is>
          <t>normalized.py DEFAULT_TAX_RATE</t>
        </is>
      </c>
      <c r="E9" t="inlineStr">
        <is>
          <t>for normalized NOPAT</t>
        </is>
      </c>
    </row>
    <row r="10">
      <c r="A10" t="inlineStr">
        <is>
          <t>WACC stress (bear)</t>
        </is>
      </c>
      <c r="B10" s="4" t="n">
        <v>0.01</v>
      </c>
      <c r="C10" t="inlineStr">
        <is>
          <t>analyst-assumption</t>
        </is>
      </c>
      <c r="D10" t="inlineStr">
        <is>
          <t>reverse_dcf.build_cases default</t>
        </is>
      </c>
      <c r="E10" t="inlineStr">
        <is>
          <t>bear WACC add-on</t>
        </is>
      </c>
    </row>
    <row r="11">
      <c r="A11" t="inlineStr">
        <is>
          <t>Terminal-g stress (bear)</t>
        </is>
      </c>
      <c r="B11" s="4" t="n">
        <v>0.005</v>
      </c>
      <c r="C11" t="inlineStr">
        <is>
          <t>analyst-assumption</t>
        </is>
      </c>
      <c r="D11" t="inlineStr">
        <is>
          <t>reverse_dcf.build_cases default</t>
        </is>
      </c>
      <c r="E11" t="inlineStr">
        <is>
          <t>bear terminal-g haircut</t>
        </is>
      </c>
    </row>
    <row r="12">
      <c r="A12" s="3" t="inlineStr">
        <is>
          <t>Market (yfinance — non-primary)</t>
        </is>
      </c>
    </row>
    <row r="13">
      <c r="A13" t="inlineStr">
        <is>
          <t>Current price</t>
        </is>
      </c>
      <c r="B13" s="6" t="n">
        <v>60</v>
      </c>
      <c r="C13" t="inlineStr">
        <is>
          <t>yfinance-non-primary</t>
        </is>
      </c>
      <c r="D13" t="inlineStr">
        <is>
          <t>yfinance (non-primary)</t>
        </is>
      </c>
      <c r="E13" t="inlineStr">
        <is>
          <t>quote; MoS measured vs this</t>
        </is>
      </c>
    </row>
    <row r="14">
      <c r="A14" t="inlineStr">
        <is>
          <t>Market cap</t>
        </is>
      </c>
      <c r="B14" s="7" t="n">
        <v>2300000000</v>
      </c>
      <c r="C14" t="inlineStr">
        <is>
          <t>yfinance-non-primary</t>
        </is>
      </c>
      <c r="D14" t="inlineStr">
        <is>
          <t>yfinance (non-primary)</t>
        </is>
      </c>
      <c r="E14" t="inlineStr">
        <is>
          <t>price x shares fallback</t>
        </is>
      </c>
    </row>
    <row r="15">
      <c r="A15" s="3" t="inlineStr">
        <is>
          <t>Capital structure &amp; shares (SEC EDGAR — primary)</t>
        </is>
      </c>
    </row>
    <row r="16">
      <c r="A16" t="inlineStr">
        <is>
          <t>Diluted shares</t>
        </is>
      </c>
      <c r="B16" s="8" t="n">
        <v>38000000</v>
      </c>
      <c r="C16" t="inlineStr">
        <is>
          <t>edgar-primary</t>
        </is>
      </c>
      <c r="D16" t="inlineStr">
        <is>
          <t>EDGAR WeightedAverageSharesDiluted</t>
        </is>
      </c>
      <c r="E16" t="inlineStr">
        <is>
          <t>same denominator as the DCF</t>
        </is>
      </c>
    </row>
    <row r="17">
      <c r="A17" t="inlineStr">
        <is>
          <t>Net debt</t>
        </is>
      </c>
      <c r="B17" s="9" t="n">
        <v>900000000</v>
      </c>
      <c r="C17" t="inlineStr">
        <is>
          <t>edgar-primary</t>
        </is>
      </c>
      <c r="D17" t="inlineStr">
        <is>
          <t>EDGAR total debt − cash (NaN→0)</t>
        </is>
      </c>
      <c r="E17" t="inlineStr">
        <is>
          <t>subtracted to get equity</t>
        </is>
      </c>
    </row>
    <row r="18">
      <c r="A18" s="3" t="inlineStr">
        <is>
          <t>Free cash flow — FCFF₀ (SEC EDGAR — primary)</t>
        </is>
      </c>
    </row>
    <row r="19">
      <c r="A19" t="inlineStr">
        <is>
          <t>FCFF₀ base (latest FY)</t>
        </is>
      </c>
      <c r="B19" s="9" t="n">
        <v>300000000</v>
      </c>
      <c r="C19" t="inlineStr">
        <is>
          <t>edgar-primary</t>
        </is>
      </c>
      <c r="D19" t="inlineStr">
        <is>
          <t>EDGAR FCF latest FY</t>
        </is>
      </c>
      <c r="E19" t="inlineStr">
        <is>
          <t>base-case starting FCFF</t>
        </is>
      </c>
    </row>
    <row r="20">
      <c r="A20" t="inlineStr">
        <is>
          <t>FCFF₀ bear (min last 5)</t>
        </is>
      </c>
      <c r="B20" s="9" t="n">
        <v>240000000</v>
      </c>
      <c r="C20" t="inlineStr">
        <is>
          <t>edgar-primary</t>
        </is>
      </c>
      <c r="D20" t="inlineStr">
        <is>
          <t>EDGAR min(last 5 FY FCF)</t>
        </is>
      </c>
      <c r="E20" t="inlineStr">
        <is>
          <t>conservative trough FCFF</t>
        </is>
      </c>
    </row>
    <row r="21">
      <c r="A21" t="inlineStr">
        <is>
          <t>FCFF₀ bull (max latest, mean5)</t>
        </is>
      </c>
      <c r="B21" s="9" t="n">
        <v>320000000</v>
      </c>
      <c r="C21" t="inlineStr">
        <is>
          <t>edgar-primary</t>
        </is>
      </c>
      <c r="D21" t="inlineStr">
        <is>
          <t>EDGAR max(latest, mean last 5)</t>
        </is>
      </c>
      <c r="E21" t="inlineStr">
        <is>
          <t>optimistic FCFF</t>
        </is>
      </c>
    </row>
    <row r="22">
      <c r="A22" s="3" t="inlineStr">
        <is>
          <t>Reverse-DCF seeds (engine; an Excel CHECK re-derives — Goal Seek to re-solve)</t>
        </is>
      </c>
    </row>
    <row r="23">
      <c r="A23" t="inlineStr">
        <is>
          <t>Assumed FCFF growth (fwd)</t>
        </is>
      </c>
      <c r="B23" s="4" t="n">
        <v>0.04</v>
      </c>
      <c r="C23" t="inlineStr">
        <is>
          <t>analyst-assumption</t>
        </is>
      </c>
      <c r="D23" t="inlineStr">
        <is>
          <t>franchise FCF CAGR, clipped ≤ min(10%, WACC−2%)</t>
        </is>
      </c>
      <c r="E23" t="inlineStr">
        <is>
          <t>forward fair-value anchor (shared across cases)</t>
        </is>
      </c>
    </row>
    <row r="24">
      <c r="A24" t="inlineStr">
        <is>
          <t>Implied growth — base</t>
        </is>
      </c>
      <c r="B24" s="4" t="n">
        <v>0.05</v>
      </c>
      <c r="C24" t="inlineStr">
        <is>
          <t>formula-seed</t>
        </is>
      </c>
      <c r="D24" t="inlineStr">
        <is>
          <t>reverse_dcf.solve_implied_growth (bisection)</t>
        </is>
      </c>
      <c r="E24" t="inlineStr">
        <is>
          <t>what today's price prices in</t>
        </is>
      </c>
    </row>
    <row r="25">
      <c r="A25" t="inlineStr">
        <is>
          <t>Implied growth — bear</t>
        </is>
      </c>
      <c r="B25" s="4" t="n">
        <v>0.02</v>
      </c>
      <c r="C25" t="inlineStr">
        <is>
          <t>formula-seed</t>
        </is>
      </c>
      <c r="D25" t="inlineStr">
        <is>
          <t>reverse_dcf bisection (bear case)</t>
        </is>
      </c>
      <c r="E25" t="inlineStr"/>
    </row>
    <row r="26">
      <c r="A26" t="inlineStr">
        <is>
          <t>Implied growth — bull</t>
        </is>
      </c>
      <c r="B26" s="4" t="n">
        <v>0.08</v>
      </c>
      <c r="C26" t="inlineStr">
        <is>
          <t>formula-seed</t>
        </is>
      </c>
      <c r="D26" t="inlineStr">
        <is>
          <t>reverse_dcf bisection (bull case)</t>
        </is>
      </c>
      <c r="E26" t="inlineStr"/>
    </row>
    <row r="27">
      <c r="A27" s="3" t="inlineStr">
        <is>
          <t>Normalized earnings inputs (SEC EDGAR — primary)</t>
        </is>
      </c>
    </row>
    <row r="28">
      <c r="A28" t="inlineStr">
        <is>
          <t>Current revenue</t>
        </is>
      </c>
      <c r="B28" s="9" t="n">
        <v>1500000000</v>
      </c>
      <c r="C28" t="inlineStr">
        <is>
          <t>edgar-primary</t>
        </is>
      </c>
      <c r="D28" t="inlineStr">
        <is>
          <t>EDGAR Revenues latest FY</t>
        </is>
      </c>
      <c r="E28" t="inlineStr">
        <is>
          <t>applied to normalized margins</t>
        </is>
      </c>
    </row>
    <row r="29">
      <c r="A29" t="inlineStr">
        <is>
          <t>Mean operating margin (5y)</t>
        </is>
      </c>
      <c r="B29" s="10" t="n">
        <v>0.16</v>
      </c>
      <c r="C29" t="inlineStr">
        <is>
          <t>edgar-primary</t>
        </is>
      </c>
      <c r="D29" t="inlineStr">
        <is>
          <t>EDGAR 5y mean OperatingIncome/Revenue</t>
        </is>
      </c>
      <c r="E29" t="inlineStr">
        <is>
          <t>mid-cycle margin</t>
        </is>
      </c>
    </row>
    <row r="30">
      <c r="A30" t="inlineStr">
        <is>
          <t>Trough operating margin</t>
        </is>
      </c>
      <c r="B30" s="10" t="n">
        <v>0.1</v>
      </c>
      <c r="C30" t="inlineStr">
        <is>
          <t>edgar-primary</t>
        </is>
      </c>
      <c r="D30" t="inlineStr">
        <is>
          <t>EDGAR min OperatingIncome/Revenue</t>
        </is>
      </c>
      <c r="E30" t="inlineStr">
        <is>
          <t>downside margin anchor</t>
        </is>
      </c>
    </row>
    <row r="31">
      <c r="A31" t="inlineStr">
        <is>
          <t>Interest expense</t>
        </is>
      </c>
      <c r="B31" s="9" t="n">
        <v>20000000</v>
      </c>
      <c r="C31" t="inlineStr">
        <is>
          <t>edgar-primary</t>
        </is>
      </c>
      <c r="D31" t="inlineStr">
        <is>
          <t>EDGAR InterestExpense latest FY</t>
        </is>
      </c>
      <c r="E31" t="inlineStr">
        <is>
          <t>subtracted pre-tax</t>
        </is>
      </c>
    </row>
    <row r="32">
      <c r="A32" s="3" t="inlineStr">
        <is>
          <t>Derived band statistics (own history / peers)</t>
        </is>
      </c>
    </row>
    <row r="33">
      <c r="A33" t="inlineStr">
        <is>
          <t>Own-hist P/E p25</t>
        </is>
      </c>
      <c r="B33" s="11" t="n">
        <v>12</v>
      </c>
      <c r="C33" t="inlineStr">
        <is>
          <t>derived</t>
        </is>
      </c>
      <c r="D33" t="inlineStr">
        <is>
          <t>derived (own history)</t>
        </is>
      </c>
      <c r="E33" t="inlineStr">
        <is>
          <t>cheap end of own range</t>
        </is>
      </c>
    </row>
    <row r="34">
      <c r="A34" t="inlineStr">
        <is>
          <t>Own-hist P/E median</t>
        </is>
      </c>
      <c r="B34" s="11" t="n">
        <v>15</v>
      </c>
      <c r="C34" t="inlineStr">
        <is>
          <t>derived</t>
        </is>
      </c>
      <c r="D34" t="inlineStr">
        <is>
          <t>derived (own history)</t>
        </is>
      </c>
      <c r="E34" t="inlineStr"/>
    </row>
    <row r="35">
      <c r="A35" t="inlineStr">
        <is>
          <t>Own-hist P/E p75</t>
        </is>
      </c>
      <c r="B35" s="11" t="n">
        <v>18</v>
      </c>
      <c r="C35" t="inlineStr">
        <is>
          <t>derived</t>
        </is>
      </c>
      <c r="D35" t="inlineStr">
        <is>
          <t>derived (own history)</t>
        </is>
      </c>
      <c r="E35" t="inlineStr">
        <is>
          <t>dear end of own range</t>
        </is>
      </c>
    </row>
    <row r="36">
      <c r="A36" t="inlineStr">
        <is>
          <t>Peer P/E min</t>
        </is>
      </c>
      <c r="B36" s="11" t="n">
        <v>22</v>
      </c>
      <c r="C36" t="inlineStr">
        <is>
          <t>derived</t>
        </is>
      </c>
      <c r="D36" t="inlineStr">
        <is>
          <t>derived (peer set)</t>
        </is>
      </c>
      <c r="E36" t="inlineStr">
        <is>
          <t>cheapest peer</t>
        </is>
      </c>
    </row>
    <row r="37">
      <c r="A37" t="inlineStr">
        <is>
          <t>Peer P/E median</t>
        </is>
      </c>
      <c r="B37" s="11" t="n">
        <v>24</v>
      </c>
      <c r="C37" t="inlineStr">
        <is>
          <t>derived</t>
        </is>
      </c>
      <c r="D37" t="inlineStr">
        <is>
          <t>derived (peer set)</t>
        </is>
      </c>
      <c r="E37" t="inlineStr"/>
    </row>
    <row r="38">
      <c r="A38" t="inlineStr">
        <is>
          <t>Peer P/E max</t>
        </is>
      </c>
      <c r="B38" s="11" t="n">
        <v>26</v>
      </c>
      <c r="C38" t="inlineStr">
        <is>
          <t>derived</t>
        </is>
      </c>
      <c r="D38" t="inlineStr">
        <is>
          <t>derived (peer set)</t>
        </is>
      </c>
      <c r="E38" t="inlineStr">
        <is>
          <t>dearest peer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DCF &amp; Reverse-DCF — EXAMPLE</t>
        </is>
      </c>
    </row>
    <row r="2">
      <c r="A2" s="12">
        <f>"Bear-case MoS  "&amp;IFERROR(TEXT(B28,"0.0%"),"n/a")&amp;"      Base  "&amp;IFERROR(TEXT(C28,"0.0%"),"n/a")&amp;"      Bull  "&amp;IFERROR(TEXT(D28,"0.0%"),"n/a")</f>
        <v/>
      </c>
    </row>
    <row r="4">
      <c r="A4" s="2" t="inlineStr">
        <is>
          <t>Driver</t>
        </is>
      </c>
      <c r="B4" s="2" t="inlineStr">
        <is>
          <t>Bear (downside)</t>
        </is>
      </c>
      <c r="C4" s="2" t="inlineStr">
        <is>
          <t>Base</t>
        </is>
      </c>
      <c r="D4" s="2" t="inlineStr">
        <is>
          <t>Bull</t>
        </is>
      </c>
    </row>
    <row r="5">
      <c r="A5" t="inlineStr">
        <is>
          <t>WACC</t>
        </is>
      </c>
      <c r="B5" s="13">
        <f>WACC+WACC_STRESS</f>
        <v/>
      </c>
      <c r="C5" s="14">
        <f>WACC</f>
        <v/>
      </c>
      <c r="D5" s="14">
        <f>MAX(WACC-WACC_STRESS,TERM_G+TG_STRESS+0.005)</f>
        <v/>
      </c>
    </row>
    <row r="6">
      <c r="A6" t="inlineStr">
        <is>
          <t>Terminal growth</t>
        </is>
      </c>
      <c r="B6" s="13">
        <f>MAX(TERM_G-TG_STRESS,0)</f>
        <v/>
      </c>
      <c r="C6" s="14">
        <f>TERM_G</f>
        <v/>
      </c>
      <c r="D6" s="14">
        <f>TERM_G+TG_STRESS</f>
        <v/>
      </c>
    </row>
    <row r="7">
      <c r="A7" t="inlineStr">
        <is>
          <t>FCFF₀ ($)</t>
        </is>
      </c>
      <c r="B7" s="15">
        <f>FCFF0_BEAR</f>
        <v/>
      </c>
      <c r="C7" s="16">
        <f>FCFF0_BASE</f>
        <v/>
      </c>
      <c r="D7" s="16">
        <f>FCFF0_BULL</f>
        <v/>
      </c>
    </row>
    <row r="8">
      <c r="A8" t="inlineStr">
        <is>
          <t>Assumed FCFF growth (fwd)</t>
        </is>
      </c>
      <c r="B8" s="4">
        <f>ASSUMED_G</f>
        <v/>
      </c>
      <c r="C8" s="4">
        <f>ASSUMED_G</f>
        <v/>
      </c>
      <c r="D8" s="4">
        <f>ASSUMED_G</f>
        <v/>
      </c>
    </row>
    <row r="11">
      <c r="A11" s="2" t="inlineStr">
        <is>
          <t>Year</t>
        </is>
      </c>
      <c r="B11" s="2" t="inlineStr">
        <is>
          <t>Bear</t>
        </is>
      </c>
      <c r="C11" s="2" t="inlineStr">
        <is>
          <t>Base</t>
        </is>
      </c>
      <c r="D11" s="2" t="inlineStr">
        <is>
          <t>Bull</t>
        </is>
      </c>
    </row>
    <row r="12">
      <c r="A12" t="n">
        <v>1</v>
      </c>
      <c r="B12" s="16">
        <f>IF($A12&lt;=YEARS,B$7*(1+ASSUMED_G)^$A12/(1+B$5)^$A12,0)</f>
        <v/>
      </c>
      <c r="C12" s="16">
        <f>IF($A12&lt;=YEARS,C$7*(1+ASSUMED_G)^$A12/(1+C$5)^$A12,0)</f>
        <v/>
      </c>
      <c r="D12" s="16">
        <f>IF($A12&lt;=YEARS,D$7*(1+ASSUMED_G)^$A12/(1+D$5)^$A12,0)</f>
        <v/>
      </c>
    </row>
    <row r="13">
      <c r="A13" t="n">
        <v>2</v>
      </c>
      <c r="B13" s="16">
        <f>IF($A13&lt;=YEARS,B$7*(1+ASSUMED_G)^$A13/(1+B$5)^$A13,0)</f>
        <v/>
      </c>
      <c r="C13" s="16">
        <f>IF($A13&lt;=YEARS,C$7*(1+ASSUMED_G)^$A13/(1+C$5)^$A13,0)</f>
        <v/>
      </c>
      <c r="D13" s="16">
        <f>IF($A13&lt;=YEARS,D$7*(1+ASSUMED_G)^$A13/(1+D$5)^$A13,0)</f>
        <v/>
      </c>
    </row>
    <row r="14">
      <c r="A14" t="n">
        <v>3</v>
      </c>
      <c r="B14" s="16">
        <f>IF($A14&lt;=YEARS,B$7*(1+ASSUMED_G)^$A14/(1+B$5)^$A14,0)</f>
        <v/>
      </c>
      <c r="C14" s="16">
        <f>IF($A14&lt;=YEARS,C$7*(1+ASSUMED_G)^$A14/(1+C$5)^$A14,0)</f>
        <v/>
      </c>
      <c r="D14" s="16">
        <f>IF($A14&lt;=YEARS,D$7*(1+ASSUMED_G)^$A14/(1+D$5)^$A14,0)</f>
        <v/>
      </c>
    </row>
    <row r="15">
      <c r="A15" t="n">
        <v>4</v>
      </c>
      <c r="B15" s="16">
        <f>IF($A15&lt;=YEARS,B$7*(1+ASSUMED_G)^$A15/(1+B$5)^$A15,0)</f>
        <v/>
      </c>
      <c r="C15" s="16">
        <f>IF($A15&lt;=YEARS,C$7*(1+ASSUMED_G)^$A15/(1+C$5)^$A15,0)</f>
        <v/>
      </c>
      <c r="D15" s="16">
        <f>IF($A15&lt;=YEARS,D$7*(1+ASSUMED_G)^$A15/(1+D$5)^$A15,0)</f>
        <v/>
      </c>
    </row>
    <row r="16">
      <c r="A16" t="n">
        <v>5</v>
      </c>
      <c r="B16" s="16">
        <f>IF($A16&lt;=YEARS,B$7*(1+ASSUMED_G)^$A16/(1+B$5)^$A16,0)</f>
        <v/>
      </c>
      <c r="C16" s="16">
        <f>IF($A16&lt;=YEARS,C$7*(1+ASSUMED_G)^$A16/(1+C$5)^$A16,0)</f>
        <v/>
      </c>
      <c r="D16" s="16">
        <f>IF($A16&lt;=YEARS,D$7*(1+ASSUMED_G)^$A16/(1+D$5)^$A16,0)</f>
        <v/>
      </c>
    </row>
    <row r="17">
      <c r="A17" t="n">
        <v>6</v>
      </c>
      <c r="B17" s="16">
        <f>IF($A17&lt;=YEARS,B$7*(1+ASSUMED_G)^$A17/(1+B$5)^$A17,0)</f>
        <v/>
      </c>
      <c r="C17" s="16">
        <f>IF($A17&lt;=YEARS,C$7*(1+ASSUMED_G)^$A17/(1+C$5)^$A17,0)</f>
        <v/>
      </c>
      <c r="D17" s="16">
        <f>IF($A17&lt;=YEARS,D$7*(1+ASSUMED_G)^$A17/(1+D$5)^$A17,0)</f>
        <v/>
      </c>
    </row>
    <row r="18">
      <c r="A18" t="n">
        <v>7</v>
      </c>
      <c r="B18" s="16">
        <f>IF($A18&lt;=YEARS,B$7*(1+ASSUMED_G)^$A18/(1+B$5)^$A18,0)</f>
        <v/>
      </c>
      <c r="C18" s="16">
        <f>IF($A18&lt;=YEARS,C$7*(1+ASSUMED_G)^$A18/(1+C$5)^$A18,0)</f>
        <v/>
      </c>
      <c r="D18" s="16">
        <f>IF($A18&lt;=YEARS,D$7*(1+ASSUMED_G)^$A18/(1+D$5)^$A18,0)</f>
        <v/>
      </c>
    </row>
    <row r="19">
      <c r="A19" t="n">
        <v>8</v>
      </c>
      <c r="B19" s="16">
        <f>IF($A19&lt;=YEARS,B$7*(1+ASSUMED_G)^$A19/(1+B$5)^$A19,0)</f>
        <v/>
      </c>
      <c r="C19" s="16">
        <f>IF($A19&lt;=YEARS,C$7*(1+ASSUMED_G)^$A19/(1+C$5)^$A19,0)</f>
        <v/>
      </c>
      <c r="D19" s="16">
        <f>IF($A19&lt;=YEARS,D$7*(1+ASSUMED_G)^$A19/(1+D$5)^$A19,0)</f>
        <v/>
      </c>
    </row>
    <row r="20">
      <c r="A20" t="n">
        <v>9</v>
      </c>
      <c r="B20" s="16">
        <f>IF($A20&lt;=YEARS,B$7*(1+ASSUMED_G)^$A20/(1+B$5)^$A20,0)</f>
        <v/>
      </c>
      <c r="C20" s="16">
        <f>IF($A20&lt;=YEARS,C$7*(1+ASSUMED_G)^$A20/(1+C$5)^$A20,0)</f>
        <v/>
      </c>
      <c r="D20" s="16">
        <f>IF($A20&lt;=YEARS,D$7*(1+ASSUMED_G)^$A20/(1+D$5)^$A20,0)</f>
        <v/>
      </c>
    </row>
    <row r="21">
      <c r="A21" t="n">
        <v>10</v>
      </c>
      <c r="B21" s="16">
        <f>IF($A21&lt;=YEARS,B$7*(1+ASSUMED_G)^$A21/(1+B$5)^$A21,0)</f>
        <v/>
      </c>
      <c r="C21" s="16">
        <f>IF($A21&lt;=YEARS,C$7*(1+ASSUMED_G)^$A21/(1+C$5)^$A21,0)</f>
        <v/>
      </c>
      <c r="D21" s="16">
        <f>IF($A21&lt;=YEARS,D$7*(1+ASSUMED_G)^$A21/(1+D$5)^$A21,0)</f>
        <v/>
      </c>
    </row>
    <row r="22">
      <c r="A22" t="inlineStr">
        <is>
          <t>Σ PV of explicit FCFF</t>
        </is>
      </c>
      <c r="B22" s="16">
        <f>SUM(B12:B21)</f>
        <v/>
      </c>
      <c r="C22" s="16">
        <f>SUM(C12:C21)</f>
        <v/>
      </c>
      <c r="D22" s="16">
        <f>SUM(D12:D21)</f>
        <v/>
      </c>
    </row>
    <row r="23">
      <c r="A23" t="inlineStr">
        <is>
          <t>PV of terminal value</t>
        </is>
      </c>
      <c r="B23" s="16">
        <f>IF(B$5&gt;B$6,B$7*(1+ASSUMED_G)^YEARS*(1+B$6)/(B$5-B$6)/(1+B$5)^YEARS,NA())</f>
        <v/>
      </c>
      <c r="C23" s="16">
        <f>IF(C$5&gt;C$6,C$7*(1+ASSUMED_G)^YEARS*(1+C$6)/(C$5-C$6)/(1+C$5)^YEARS,NA())</f>
        <v/>
      </c>
      <c r="D23" s="16">
        <f>IF(D$5&gt;D$6,D$7*(1+ASSUMED_G)^YEARS*(1+D$6)/(D$5-D$6)/(1+D$5)^YEARS,NA())</f>
        <v/>
      </c>
    </row>
    <row r="24">
      <c r="A24" t="inlineStr">
        <is>
          <t>Enterprise value</t>
        </is>
      </c>
      <c r="B24" s="16">
        <f>B22+B23</f>
        <v/>
      </c>
      <c r="C24" s="16">
        <f>C22+C23</f>
        <v/>
      </c>
      <c r="D24" s="16">
        <f>D22+D23</f>
        <v/>
      </c>
    </row>
    <row r="25">
      <c r="A25" t="inlineStr">
        <is>
          <t>Less: net debt</t>
        </is>
      </c>
      <c r="B25" s="16">
        <f>NET_DEBT</f>
        <v/>
      </c>
      <c r="C25" s="16">
        <f>NET_DEBT</f>
        <v/>
      </c>
      <c r="D25" s="16">
        <f>NET_DEBT</f>
        <v/>
      </c>
    </row>
    <row r="26">
      <c r="A26" t="inlineStr">
        <is>
          <t>Equity value</t>
        </is>
      </c>
      <c r="B26" s="16">
        <f>B24-B25</f>
        <v/>
      </c>
      <c r="C26" s="16">
        <f>C24-C25</f>
        <v/>
      </c>
      <c r="D26" s="16">
        <f>D24-D25</f>
        <v/>
      </c>
    </row>
    <row r="27">
      <c r="A27" t="inlineStr">
        <is>
          <t>Fair value / share</t>
        </is>
      </c>
      <c r="B27" s="17">
        <f>IFERROR(B26/SHARES,NA())</f>
        <v/>
      </c>
      <c r="C27" s="18">
        <f>IFERROR(C26/SHARES,NA())</f>
        <v/>
      </c>
      <c r="D27" s="18">
        <f>IFERROR(D26/SHARES,NA())</f>
        <v/>
      </c>
    </row>
    <row r="28">
      <c r="A28" t="inlineStr">
        <is>
          <t>Margin of safety vs price</t>
        </is>
      </c>
      <c r="B28" s="13">
        <f>IFERROR(B27/PRICE-1,NA())</f>
        <v/>
      </c>
      <c r="C28" s="14">
        <f>IFERROR(C27/PRICE-1,NA())</f>
        <v/>
      </c>
      <c r="D28" s="14">
        <f>IFERROR(D27/PRICE-1,NA())</f>
        <v/>
      </c>
    </row>
    <row r="30">
      <c r="A30" s="3" t="inlineStr">
        <is>
          <t>Reverse DCF — growth priced in (tie-out)</t>
        </is>
      </c>
    </row>
    <row r="31">
      <c r="A31" s="2" t="inlineStr"/>
      <c r="B31" s="2" t="inlineStr">
        <is>
          <t>Bear</t>
        </is>
      </c>
      <c r="C31" s="2" t="inlineStr">
        <is>
          <t>Base</t>
        </is>
      </c>
      <c r="D31" s="2" t="inlineStr">
        <is>
          <t>Bull</t>
        </is>
      </c>
    </row>
    <row r="32">
      <c r="A32" t="inlineStr">
        <is>
          <t>Implied FCFF growth (priced in)</t>
        </is>
      </c>
      <c r="B32" s="4">
        <f>IMPLIED_G_BEAR</f>
        <v/>
      </c>
      <c r="C32" s="4">
        <f>IMPLIED_G_BASE</f>
        <v/>
      </c>
      <c r="D32" s="4">
        <f>IMPLIED_G_BULL</f>
        <v/>
      </c>
    </row>
    <row r="33">
      <c r="A33" t="inlineStr">
        <is>
          <t>EV @ implied growth (check)</t>
        </is>
      </c>
      <c r="B33" s="16">
        <f>IFERROR(B7*((1+IMPLIED_G_BEAR)/(1+B5))*(1-((1+IMPLIED_G_BEAR)/(1+B5))^YEARS)/(1-((1+IMPLIED_G_BEAR)/(1+B5)))+B7*(1+IMPLIED_G_BEAR)^YEARS*(1+B6)/(B5-B6)/(1+B5)^YEARS,NA())</f>
        <v/>
      </c>
      <c r="C33" s="16">
        <f>IFERROR(C7*((1+IMPLIED_G_BASE)/(1+C5))*(1-((1+IMPLIED_G_BASE)/(1+C5))^YEARS)/(1-((1+IMPLIED_G_BASE)/(1+C5)))+C7*(1+IMPLIED_G_BASE)^YEARS*(1+C6)/(C5-C6)/(1+C5)^YEARS,NA())</f>
        <v/>
      </c>
      <c r="D33" s="16">
        <f>IFERROR(D7*((1+IMPLIED_G_BULL)/(1+D5))*(1-((1+IMPLIED_G_BULL)/(1+D5))^YEARS)/(1-((1+IMPLIED_G_BULL)/(1+D5)))+D7*(1+IMPLIED_G_BULL)^YEARS*(1+D6)/(D5-D6)/(1+D5)^YEARS,NA())</f>
        <v/>
      </c>
    </row>
    <row r="34">
      <c r="A34" t="inlineStr">
        <is>
          <t>Current EV (mkt cap + net debt)</t>
        </is>
      </c>
      <c r="B34" s="16">
        <f>MKT_CAP+NET_DEBT</f>
        <v/>
      </c>
      <c r="C34" s="16">
        <f>MKT_CAP+NET_DEBT</f>
        <v/>
      </c>
      <c r="D34" s="16">
        <f>MKT_CAP+NET_DEBT</f>
        <v/>
      </c>
    </row>
    <row r="35">
      <c r="A35" t="inlineStr">
        <is>
          <t>Tie-out residual (≈ 0)</t>
        </is>
      </c>
      <c r="B35" s="16">
        <f>B33-B34</f>
        <v/>
      </c>
      <c r="C35" s="16">
        <f>C33-C34</f>
        <v/>
      </c>
      <c r="D35" s="16">
        <f>D33-D34</f>
        <v/>
      </c>
    </row>
    <row r="37">
      <c r="A37" t="inlineStr">
        <is>
          <t>Seeded implied growth ties EV→current EV on open (residual≈0). After flexing WACC/TG/FCFF₀: Data ▸ What-If ▸ Goal Seek — Set the residual cell To 0 By changing the matching IMPLIED_G_* input. (Engine: reverse_dcf.solve_implied_growth.)</t>
        </is>
      </c>
    </row>
  </sheetData>
  <conditionalFormatting sqref="B35:D35">
    <cfRule type="expression" priority="1" dxfId="0">
      <formula>ABS(B35)&lt;0.005*B34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1" t="inlineStr">
        <is>
          <t>Normalized / Mid-cycle Earnings — EXAMPLE</t>
        </is>
      </c>
    </row>
    <row r="2">
      <c r="A2" s="12">
        <f>"Trough (downside) P/E  "&amp;IFERROR(TEXT(B13,"0.00")&amp;"x","n/a")&amp;"      Mid-cycle P/E  "&amp;IFERROR(TEXT(C13,"0.00")&amp;"x","n/a")</f>
        <v/>
      </c>
    </row>
    <row r="4">
      <c r="A4" s="2" t="inlineStr">
        <is>
          <t>Line (per share unless noted)</t>
        </is>
      </c>
      <c r="B4" s="2" t="inlineStr">
        <is>
          <t>Trough (downside)</t>
        </is>
      </c>
      <c r="C4" s="2" t="inlineStr">
        <is>
          <t>Mid-cycle</t>
        </is>
      </c>
    </row>
    <row r="5">
      <c r="A5" t="inlineStr">
        <is>
          <t>Operating margin</t>
        </is>
      </c>
      <c r="B5" s="13">
        <f>TROUGH_OPM</f>
        <v/>
      </c>
      <c r="C5" s="14">
        <f>MEAN_OPM</f>
        <v/>
      </c>
    </row>
    <row r="6">
      <c r="A6" t="inlineStr">
        <is>
          <t>× Current revenue ($)</t>
        </is>
      </c>
      <c r="B6" s="16">
        <f>REVENUE</f>
        <v/>
      </c>
      <c r="C6" s="16">
        <f>REVENUE</f>
        <v/>
      </c>
    </row>
    <row r="7">
      <c r="A7" t="inlineStr">
        <is>
          <t>Operating income ($)</t>
        </is>
      </c>
      <c r="B7" s="16">
        <f>TROUGH_OPM*REVENUE</f>
        <v/>
      </c>
      <c r="C7" s="16">
        <f>MEAN_OPM*REVENUE</f>
        <v/>
      </c>
    </row>
    <row r="8">
      <c r="A8" t="inlineStr">
        <is>
          <t>Less: interest expense ($)</t>
        </is>
      </c>
      <c r="B8" s="16">
        <f>INT_EXP</f>
        <v/>
      </c>
      <c r="C8" s="16">
        <f>INT_EXP</f>
        <v/>
      </c>
    </row>
    <row r="9">
      <c r="A9" t="inlineStr">
        <is>
          <t>Net income after tax ($)</t>
        </is>
      </c>
      <c r="B9" s="16">
        <f>(TROUGH_OPM*REVENUE-INT_EXP)*(1-TAX)</f>
        <v/>
      </c>
      <c r="C9" s="16">
        <f>(MEAN_OPM*REVENUE-INT_EXP)*(1-TAX)</f>
        <v/>
      </c>
    </row>
    <row r="10">
      <c r="A10" t="inlineStr">
        <is>
          <t>Diluted shares</t>
        </is>
      </c>
      <c r="B10" s="19">
        <f>SHARES</f>
        <v/>
      </c>
      <c r="C10" s="19">
        <f>SHARES</f>
        <v/>
      </c>
    </row>
    <row r="11">
      <c r="A11" t="inlineStr">
        <is>
          <t>EPS ($)</t>
        </is>
      </c>
      <c r="B11" s="17">
        <f>IFERROR((TROUGH_OPM*REVENUE-INT_EXP)*(1-TAX)/SHARES,NA())</f>
        <v/>
      </c>
      <c r="C11" s="18">
        <f>IFERROR((MEAN_OPM*REVENUE-INT_EXP)*(1-TAX)/SHARES,NA())</f>
        <v/>
      </c>
    </row>
    <row r="12">
      <c r="A12" t="inlineStr">
        <is>
          <t>Price ($)</t>
        </is>
      </c>
      <c r="B12" s="18">
        <f>PRICE</f>
        <v/>
      </c>
      <c r="C12" s="18">
        <f>PRICE</f>
        <v/>
      </c>
    </row>
    <row r="13">
      <c r="A13" t="inlineStr">
        <is>
          <t>P/E</t>
        </is>
      </c>
      <c r="B13" s="20">
        <f>IFERROR(PRICE/B11,NA())</f>
        <v/>
      </c>
      <c r="C13" s="21">
        <f>IFERROR(PRICE/C11,NA())</f>
        <v/>
      </c>
    </row>
    <row r="15">
      <c r="A15" t="inlineStr">
        <is>
          <t>Trailing P/E (as-reported EpsDiluted, reference)</t>
        </is>
      </c>
      <c r="B15" s="22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Football Field — EXAMPLE  (valuation ranges vs price)</t>
        </is>
      </c>
    </row>
    <row r="2">
      <c r="A2" s="23" t="inlineStr">
        <is>
          <t>Each row is a valuation RANGE; data bars show relative levels. Compare to the current-price marker. Low column (bear) first. A true floating-bar chart is a deliberate non-goal — see MODEL_NOTES to add one.</t>
        </is>
      </c>
    </row>
    <row r="4">
      <c r="A4" s="2" t="inlineStr">
        <is>
          <t>Method</t>
        </is>
      </c>
      <c r="B4" s="2" t="inlineStr">
        <is>
          <t>Low (bear)</t>
        </is>
      </c>
      <c r="C4" s="2" t="inlineStr">
        <is>
          <t>Mid</t>
        </is>
      </c>
      <c r="D4" s="2" t="inlineStr">
        <is>
          <t>High (bull)</t>
        </is>
      </c>
      <c r="E4" s="2" t="inlineStr">
        <is>
          <t>Mid vs price</t>
        </is>
      </c>
    </row>
    <row r="5">
      <c r="A5" t="inlineStr">
        <is>
          <t>Reverse DCF (bear/base/bull)</t>
        </is>
      </c>
      <c r="B5" s="17">
        <f>FV_BEAR</f>
        <v/>
      </c>
      <c r="C5" s="18">
        <f>FV_BASE</f>
        <v/>
      </c>
      <c r="D5" s="18">
        <f>FV_BULL</f>
        <v/>
      </c>
      <c r="E5" s="14">
        <f>IFERROR(C5/PRICE-1,NA())</f>
        <v/>
      </c>
    </row>
    <row r="6">
      <c r="A6" t="inlineStr">
        <is>
          <t>Own-history P/E</t>
        </is>
      </c>
      <c r="B6" s="17">
        <f>TROUGH_EPS*PE_P25</f>
        <v/>
      </c>
      <c r="C6" s="18">
        <f>NORM_EPS*PE_MEDIAN</f>
        <v/>
      </c>
      <c r="D6" s="18">
        <f>NORM_EPS*PE_P75</f>
        <v/>
      </c>
      <c r="E6" s="14">
        <f>IFERROR(C6/PRICE-1,NA())</f>
        <v/>
      </c>
    </row>
    <row r="7">
      <c r="A7" t="inlineStr">
        <is>
          <t>Peer P/E</t>
        </is>
      </c>
      <c r="B7" s="17">
        <f>NORM_EPS*PEER_PE_MIN</f>
        <v/>
      </c>
      <c r="C7" s="18">
        <f>NORM_EPS*PEER_PE_MEDIAN</f>
        <v/>
      </c>
      <c r="D7" s="18">
        <f>NORM_EPS*PEER_PE_MAX</f>
        <v/>
      </c>
      <c r="E7" s="14">
        <f>IFERROR(C7/PRICE-1,NA())</f>
        <v/>
      </c>
    </row>
    <row r="9">
      <c r="A9" s="24" t="inlineStr">
        <is>
          <t>Current price (reference)</t>
        </is>
      </c>
      <c r="C9" s="6">
        <f>PRICE</f>
        <v/>
      </c>
    </row>
  </sheetData>
  <conditionalFormatting sqref="B5:D7">
    <cfRule type="dataBar" priority="1">
      <dataBar>
        <cfvo type="min"/>
        <cfvo type="max"/>
        <color rgb="008EAADB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 — read before using</t>
        </is>
      </c>
    </row>
    <row r="2">
      <c r="A2" t="inlineStr"/>
    </row>
    <row r="3">
      <c r="A3" t="inlineStr">
        <is>
          <t>These are REBUILDABLE SKELETONS seeded from a live pull. DO NOT present them in an interview as autogenerated — rebuild each formula yourself to internalize it (CLAUDE.md).</t>
        </is>
      </c>
    </row>
    <row r="4">
      <c r="A4" t="inlineStr">
        <is>
          <t>Full methodology, formula derivations and the EDGAR-vs-yfinance line-item mapping live in models/MODEL_NOTES.md.</t>
        </is>
      </c>
    </row>
    <row r="5">
      <c r="A5" t="inlineStr"/>
    </row>
    <row r="6">
      <c r="A6" t="inlineStr">
        <is>
          <t>Color legend (cell types):</t>
        </is>
      </c>
    </row>
    <row r="7">
      <c r="A7" t="inlineStr">
        <is>
          <t xml:space="preserve">  amber  = input (editable)        green = formula (do not overtype)</t>
        </is>
      </c>
    </row>
    <row r="8">
      <c r="A8" t="inlineStr">
        <is>
          <t xml:space="preserve">  blue   = EDGAR primary source    orange = yfinance (non-primary)</t>
        </is>
      </c>
    </row>
    <row r="9">
      <c r="A9" t="inlineStr">
        <is>
          <t xml:space="preserve">  italic = analyst assumption      deep-orange/red = downside anchor</t>
        </is>
      </c>
    </row>
    <row r="10">
      <c r="A10" t="inlineStr"/>
    </row>
    <row r="11">
      <c r="A11" t="inlineStr">
        <is>
          <t>Reverse DCF: implied growth is SEEDED from the engine's bisection solver; the tie-out residual ≈ 0 on open proves it matches `comps &lt;TICKER&gt;`. After flexing drivers, re-solve with Data ▸ What-If ▸ Goal Seek (set residual to 0 by changing IMPLIED_G_*).</t>
        </is>
      </c>
    </row>
    <row r="12">
      <c r="A12" t="inlineStr">
        <is>
          <t>openpyxl writes formula STRINGS — it does not compute. Open in Excel and confirm no #REF!/#DIV0!/#NAME?, that the residual ties out, and that the bear column flexes.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2026-05-29T23:33:52Z</dcterms:created>
  <dcterms:modified xsi:type="dcterms:W3CDTF">2026-05-29T23:33:52Z</dcterms:modified>
</cp:coreProperties>
</file>